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\Downloads\"/>
    </mc:Choice>
  </mc:AlternateContent>
  <xr:revisionPtr revIDLastSave="0" documentId="13_ncr:1_{1E7F8D7A-AD3D-4452-98BE-C608B50F7F54}" xr6:coauthVersionLast="47" xr6:coauthVersionMax="47" xr10:uidLastSave="{00000000-0000-0000-0000-000000000000}"/>
  <bookViews>
    <workbookView xWindow="-98" yWindow="-98" windowWidth="21795" windowHeight="12975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2" i="1"/>
  <c r="H17" i="1"/>
  <c r="D17" i="1"/>
  <c r="C17" i="1"/>
  <c r="J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<sst xmlns="http://schemas.openxmlformats.org/spreadsheetml/2006/main" count="32" uniqueCount="32">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</sst>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3">
    <dxf>
      <font>
        <color auto="1"/>
      </font>
      <fill>
        <patternFill>
          <bgColor theme="9" tint="0.79998168889431442"/>
        </patternFill>
      </fill>
    </dxf>
    <dxf>
      <fill>
        <patternFill>
          <bgColor rgb="FFF3D9DA"/>
        </patternFill>
      </fill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3D9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94.625</c:v>
                </c:pt>
                <c:pt idx="1">
                  <c:v>85.625</c:v>
                </c:pt>
                <c:pt idx="2">
                  <c:v>83.375</c:v>
                </c:pt>
                <c:pt idx="3">
                  <c:v>86.625</c:v>
                </c:pt>
                <c:pt idx="4">
                  <c:v>78.25</c:v>
                </c:pt>
                <c:pt idx="5">
                  <c:v>80.375</c:v>
                </c:pt>
                <c:pt idx="6">
                  <c:v>82.625</c:v>
                </c:pt>
                <c:pt idx="7">
                  <c:v>64.75</c:v>
                </c:pt>
                <c:pt idx="8">
                  <c:v>82.25</c:v>
                </c:pt>
                <c:pt idx="9">
                  <c:v>70.875</c:v>
                </c:pt>
                <c:pt idx="10">
                  <c:v>76.5</c:v>
                </c:pt>
                <c:pt idx="11">
                  <c:v>75.75</c:v>
                </c:pt>
                <c:pt idx="12">
                  <c:v>70.125</c:v>
                </c:pt>
                <c:pt idx="13">
                  <c:v>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B-4A63-9B66-90F472916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59631"/>
        <c:axId val="76658383"/>
      </c:barChart>
      <c:catAx>
        <c:axId val="7665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658383"/>
        <c:crosses val="autoZero"/>
        <c:auto val="1"/>
        <c:lblAlgn val="ctr"/>
        <c:lblOffset val="100"/>
        <c:noMultiLvlLbl val="0"/>
      </c:catAx>
      <c:valAx>
        <c:axId val="766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65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baseline="0"/>
              <a:t>通過 </a:t>
            </a:r>
            <a:r>
              <a:rPr lang="en-US" altLang="zh-TW" sz="1400" b="0" i="0" u="none" strike="noStrike" baseline="0"/>
              <a:t>/ </a:t>
            </a:r>
            <a:r>
              <a:rPr lang="zh-TW" altLang="en-US" sz="1400" b="0" i="0" u="none" strike="noStrike" baseline="0"/>
              <a:t>未通過 比例圓餅圖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工作表1!$M$2:$M$3</c:f>
              <c:numCache>
                <c:formatCode>General</c:formatCode>
                <c:ptCount val="2"/>
                <c:pt idx="0">
                  <c:v>13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8-4792-9B5E-9B991BFAF4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24</xdr:row>
      <xdr:rowOff>19051</xdr:rowOff>
    </xdr:from>
    <xdr:to>
      <xdr:col>9</xdr:col>
      <xdr:colOff>1147762</xdr:colOff>
      <xdr:row>37</xdr:row>
      <xdr:rowOff>9525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C5FE5E7-9504-4946-9CF3-DD8955A22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38099</xdr:colOff>
      <xdr:row>16</xdr:row>
      <xdr:rowOff>38100</xdr:rowOff>
    </xdr:from>
    <xdr:to>
      <xdr:col>14</xdr:col>
      <xdr:colOff>180974</xdr:colOff>
      <xdr:row>29</xdr:row>
      <xdr:rowOff>157162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4DA8106-681A-4B41-BDEA-58DE7A38F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M24"/>
  <sheetViews>
    <sheetView tabSelected="1" topLeftCell="D2" workbookViewId="0">
      <selection activeCell="N31" sqref="N31"/>
    </sheetView>
  </sheetViews>
  <sheetFormatPr defaultRowHeight="16.149999999999999"/>
  <cols>
    <col min="3" max="4" width="13" bestFit="1" customWidth="1"/>
    <col min="8" max="8" width="18.6640625" bestFit="1" customWidth="1"/>
    <col min="10" max="10" width="16.1328125" bestFit="1" customWidth="1"/>
    <col min="11" max="11" width="24.19921875" customWidth="1"/>
    <col min="12" max="12" width="23" customWidth="1"/>
  </cols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3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AVERAGE(B2:F2)</f>
        <v>94.25</v>
      </c>
      <c r="I2" s="1">
        <v>89</v>
      </c>
      <c r="J2">
        <f>AVERAGE(B2:F2)*0.5 + G2*0.5</f>
        <v>94.625</v>
      </c>
      <c r="K2" t="str">
        <f>IF(H2&gt;=90,"A",IF(H2&gt;=80,"B",IF(H2&gt;=70,"C",IF(H2&gt;=60,"D","F"))))</f>
        <v>A</v>
      </c>
      <c r="L2" t="str">
        <f>IF(H2&gt;=60,"pass","fail")</f>
        <v>pass</v>
      </c>
      <c r="M2">
        <f>COUNTIF(L2:L15,"pass")</f>
        <v>13</v>
      </c>
    </row>
    <row r="3" spans="1:13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AVERAGE(B3:F3)</f>
        <v>86.25</v>
      </c>
      <c r="I3" s="1">
        <v>94</v>
      </c>
      <c r="J3">
        <f t="shared" ref="J3:J15" si="1">AVERAGE(B3:F3)*0.5 + G3*0.5</f>
        <v>85.625</v>
      </c>
      <c r="K3" t="str">
        <f t="shared" ref="K3:K15" si="2">IF(H3&gt;=90,"A",IF(H3&gt;=80,"B",IF(H3&gt;=70,"C",IF(H3&gt;=60,"D","F"))))</f>
        <v>B</v>
      </c>
      <c r="L3" t="str">
        <f t="shared" ref="L3:L15" si="3">IF(H3&gt;=60,"pass","fail")</f>
        <v>pass</v>
      </c>
      <c r="M3">
        <f>COUNTIF(L2:L15,"fail")</f>
        <v>1</v>
      </c>
    </row>
    <row r="4" spans="1:13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81.75</v>
      </c>
      <c r="I4" s="1">
        <v>80</v>
      </c>
      <c r="J4">
        <f t="shared" si="1"/>
        <v>83.375</v>
      </c>
      <c r="K4" t="str">
        <f t="shared" si="2"/>
        <v>B</v>
      </c>
      <c r="L4" t="str">
        <f t="shared" si="3"/>
        <v>pass</v>
      </c>
    </row>
    <row r="5" spans="1:13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78.25</v>
      </c>
      <c r="I5" s="1">
        <v>80</v>
      </c>
      <c r="J5">
        <f t="shared" si="1"/>
        <v>86.625</v>
      </c>
      <c r="K5" t="str">
        <f t="shared" si="2"/>
        <v>C</v>
      </c>
      <c r="L5" t="str">
        <f t="shared" si="3"/>
        <v>pass</v>
      </c>
    </row>
    <row r="6" spans="1:13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83.5</v>
      </c>
      <c r="I6" s="1">
        <v>88</v>
      </c>
      <c r="J6">
        <f t="shared" si="1"/>
        <v>78.25</v>
      </c>
      <c r="K6" t="str">
        <f t="shared" si="2"/>
        <v>B</v>
      </c>
      <c r="L6" t="str">
        <f t="shared" si="3"/>
        <v>pass</v>
      </c>
    </row>
    <row r="7" spans="1:13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80.75</v>
      </c>
      <c r="I7" s="1">
        <v>81</v>
      </c>
      <c r="J7">
        <f t="shared" si="1"/>
        <v>80.375</v>
      </c>
      <c r="K7" t="str">
        <f t="shared" si="2"/>
        <v>B</v>
      </c>
      <c r="L7" t="str">
        <f t="shared" si="3"/>
        <v>pass</v>
      </c>
    </row>
    <row r="8" spans="1:13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76.25</v>
      </c>
      <c r="I8" s="1">
        <v>77</v>
      </c>
      <c r="J8">
        <f t="shared" si="1"/>
        <v>82.625</v>
      </c>
      <c r="K8" t="str">
        <f t="shared" si="2"/>
        <v>C</v>
      </c>
      <c r="L8" t="str">
        <f t="shared" si="3"/>
        <v>pass</v>
      </c>
    </row>
    <row r="9" spans="1:13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82.5</v>
      </c>
      <c r="I9" s="1">
        <v>73</v>
      </c>
      <c r="J9">
        <f t="shared" si="1"/>
        <v>64.75</v>
      </c>
      <c r="K9" t="str">
        <f t="shared" si="2"/>
        <v>B</v>
      </c>
      <c r="L9" t="str">
        <f t="shared" si="3"/>
        <v>pass</v>
      </c>
    </row>
    <row r="10" spans="1:13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67.5</v>
      </c>
      <c r="I10" s="1">
        <v>77</v>
      </c>
      <c r="J10">
        <f t="shared" si="1"/>
        <v>82.25</v>
      </c>
      <c r="K10" t="str">
        <f t="shared" si="2"/>
        <v>D</v>
      </c>
      <c r="L10" t="str">
        <f t="shared" si="3"/>
        <v>pass</v>
      </c>
    </row>
    <row r="11" spans="1:13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74.75</v>
      </c>
      <c r="I11" s="1">
        <v>82</v>
      </c>
      <c r="J11">
        <f t="shared" si="1"/>
        <v>70.875</v>
      </c>
      <c r="K11" t="str">
        <f t="shared" si="2"/>
        <v>C</v>
      </c>
      <c r="L11" t="str">
        <f t="shared" si="3"/>
        <v>pass</v>
      </c>
    </row>
    <row r="12" spans="1:13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71</v>
      </c>
      <c r="I12" s="1">
        <v>88</v>
      </c>
      <c r="J12">
        <f t="shared" si="1"/>
        <v>76.5</v>
      </c>
      <c r="K12" t="str">
        <f t="shared" si="2"/>
        <v>C</v>
      </c>
      <c r="L12" t="str">
        <f t="shared" si="3"/>
        <v>pass</v>
      </c>
    </row>
    <row r="13" spans="1:13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59.5</v>
      </c>
      <c r="I13" s="1">
        <v>52</v>
      </c>
      <c r="J13">
        <f t="shared" si="1"/>
        <v>75.75</v>
      </c>
      <c r="K13" t="str">
        <f t="shared" si="2"/>
        <v>F</v>
      </c>
      <c r="L13" t="str">
        <f t="shared" si="3"/>
        <v>fail</v>
      </c>
    </row>
    <row r="14" spans="1:13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61.25</v>
      </c>
      <c r="I14" s="1">
        <v>69</v>
      </c>
      <c r="J14">
        <f t="shared" si="1"/>
        <v>70.125</v>
      </c>
      <c r="K14" t="str">
        <f t="shared" si="2"/>
        <v>D</v>
      </c>
      <c r="L14" t="str">
        <f t="shared" si="3"/>
        <v>pass</v>
      </c>
    </row>
    <row r="15" spans="1:13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63</v>
      </c>
      <c r="I15" s="1">
        <v>54</v>
      </c>
      <c r="J15">
        <f t="shared" si="1"/>
        <v>48.5</v>
      </c>
      <c r="K15" t="str">
        <f t="shared" si="2"/>
        <v>D</v>
      </c>
      <c r="L15" t="str">
        <f t="shared" si="3"/>
        <v>pass</v>
      </c>
    </row>
    <row r="16" spans="1:13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0">
      <c r="C17">
        <f>MAX(C2:C15)</f>
        <v>98</v>
      </c>
      <c r="D17">
        <f>LARGE(D2:D15,2)</f>
        <v>92</v>
      </c>
      <c r="H17" s="1">
        <f>COUNTIF(I2:I15,"&lt;80")</f>
        <v>6</v>
      </c>
      <c r="J17">
        <f>AVERAGE(H2:H15)</f>
        <v>75.75</v>
      </c>
    </row>
    <row r="24" spans="3:10">
      <c r="J24" s="4" t="s">
        <v>30</v>
      </c>
    </row>
  </sheetData>
  <phoneticPr fontId="2" type="noConversion"/>
  <conditionalFormatting sqref="L2:L15">
    <cfRule type="cellIs" dxfId="2" priority="2" operator="equal">
      <formula>"pass"</formula>
    </cfRule>
    <cfRule type="cellIs" dxfId="1" priority="1" operator="equal">
      <formula>"fail"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琬蓁 鄭</cp:lastModifiedBy>
  <dcterms:created xsi:type="dcterms:W3CDTF">2023-10-19T05:27:10Z</dcterms:created>
  <dcterms:modified xsi:type="dcterms:W3CDTF">2025-10-09T11:06:48Z</dcterms:modified>
</cp:coreProperties>
</file>